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Men" sheetId="2" r:id="rId6"/>
    <sheet state="visible" name="Women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<sst xmlns="http://schemas.openxmlformats.org/spreadsheetml/2006/main" count="327" uniqueCount="52">
  <si>
    <t>Session 1</t>
  </si>
  <si>
    <t>Session 2</t>
  </si>
  <si>
    <t>Session 3</t>
  </si>
  <si>
    <t>Session 4</t>
  </si>
  <si>
    <t>Men</t>
  </si>
  <si>
    <t>Attempt 1</t>
  </si>
  <si>
    <t>Attempt 2</t>
  </si>
  <si>
    <t>Attempt 3</t>
  </si>
  <si>
    <t>S1 AVG</t>
  </si>
  <si>
    <t>S2 AVG</t>
  </si>
  <si>
    <t>S3 AVG</t>
  </si>
  <si>
    <t>S4 AVG</t>
  </si>
  <si>
    <t>Bryce</t>
  </si>
  <si>
    <t>Joel</t>
  </si>
  <si>
    <t>-</t>
  </si>
  <si>
    <t>N/A</t>
  </si>
  <si>
    <t>Chris</t>
  </si>
  <si>
    <t>Josh</t>
  </si>
  <si>
    <t>Ben L</t>
  </si>
  <si>
    <t>Ayden</t>
  </si>
  <si>
    <t>Aidan</t>
  </si>
  <si>
    <t>Ben D</t>
  </si>
  <si>
    <t>Moshe</t>
  </si>
  <si>
    <t>Philip</t>
  </si>
  <si>
    <t>Calvin</t>
  </si>
  <si>
    <t>Women</t>
  </si>
  <si>
    <t>Jocelyn</t>
  </si>
  <si>
    <t>Finn</t>
  </si>
  <si>
    <t>Caroline</t>
  </si>
  <si>
    <t>Erin</t>
  </si>
  <si>
    <t>Margaret</t>
  </si>
  <si>
    <t>Piper</t>
  </si>
  <si>
    <t>Madelyn</t>
  </si>
  <si>
    <t>Sarah</t>
  </si>
  <si>
    <t>Natalie</t>
  </si>
  <si>
    <t>Mercer</t>
  </si>
  <si>
    <t>Grace</t>
  </si>
  <si>
    <t>Men's AVG S1</t>
  </si>
  <si>
    <t>Men's Lifting AVG S1</t>
  </si>
  <si>
    <t>Men's No Lift AVG S1</t>
  </si>
  <si>
    <t>Men's Highest S1</t>
  </si>
  <si>
    <t>Women's AVG S1</t>
  </si>
  <si>
    <t>Women's Lift AVG S1</t>
  </si>
  <si>
    <t>Women's No Lift AVG S1</t>
  </si>
  <si>
    <t>Women's Highest S1</t>
  </si>
  <si>
    <t>Swimmer</t>
  </si>
  <si>
    <t>Average Force (kg) Across Sessions – Swimmer</t>
  </si>
  <si>
    <t>First Session</t>
  </si>
  <si>
    <t>Last Session</t>
  </si>
  <si>
    <t>Percent Improvement</t>
  </si>
  <si>
    <t>Session</t>
  </si>
  <si>
    <t>AVG Force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</si>
</sst>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0.0"/>
      <color rgb="FF000000"/>
      <name val="Calibri"/>
    </font>
    <font>
      <b/>
      <sz val="10.0"/>
      <color rgb="FF000000"/>
      <name val="Calibri"/>
    </font>
    <font>
      <color rgb="FF000000"/>
      <name val="Calibri"/>
    </font>
    <font>
      <sz val="12.0"/>
      <color rgb="FF000000"/>
      <name val="Calibri"/>
    </font>
    <font>
      <b/>
      <color rgb="FF000000"/>
      <name val="Arial"/>
    </font>
    <font>
      <color rgb="FF000000"/>
      <name val="Arial"/>
    </font>
    <font/>
    <font>
      <sz val="12.0"/>
      <color rgb="FF000000"/>
      <name val="Arial"/>
    </font>
    <font>
      <color rgb="FF000000"/>
      <name val="&quot;Arial Unicode MS&quot;"/>
    </font>
    <font>
      <b/>
      <sz val="12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5" fillId="0" fontId="2" numFmtId="2" xfId="0" applyAlignment="1" applyBorder="1" applyFont="1" applyNumberForma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8" fillId="0" fontId="2" numFmtId="2" xfId="0" applyAlignment="1" applyBorder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6" fillId="0" fontId="2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2" fillId="0" fontId="5" numFmtId="0" xfId="0" applyAlignment="1" applyBorder="1" applyFont="1">
      <alignment readingOrder="0" shrinkToFit="0" vertical="bottom" wrapText="0"/>
    </xf>
    <xf borderId="2" fillId="0" fontId="6" numFmtId="0" xfId="0" applyAlignment="1" applyBorder="1" applyFont="1">
      <alignment readingOrder="0" shrinkToFit="0" vertical="bottom" wrapText="0"/>
    </xf>
    <xf borderId="2" fillId="0" fontId="7" numFmtId="0" xfId="0" applyBorder="1" applyFont="1"/>
    <xf borderId="9" fillId="0" fontId="7" numFmtId="0" xfId="0" applyBorder="1" applyFont="1"/>
    <xf borderId="9" fillId="0" fontId="5" numFmtId="0" xfId="0" applyAlignment="1" applyBorder="1" applyFont="1">
      <alignment readingOrder="0"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10" fillId="0" fontId="6" numFmtId="0" xfId="0" applyAlignment="1" applyBorder="1" applyFont="1">
      <alignment readingOrder="0" shrinkToFit="0" vertical="bottom" wrapText="0"/>
    </xf>
    <xf borderId="6" fillId="0" fontId="6" numFmtId="0" xfId="0" applyAlignment="1" applyBorder="1" applyFont="1">
      <alignment readingOrder="0" shrinkToFit="0" vertical="bottom" wrapText="0"/>
    </xf>
    <xf borderId="7" fillId="0" fontId="9" numFmtId="2" xfId="0" applyAlignment="1" applyBorder="1" applyFont="1" applyNumberFormat="1">
      <alignment horizontal="right" readingOrder="0" shrinkToFit="0" vertical="bottom" wrapText="0"/>
    </xf>
    <xf borderId="7" fillId="0" fontId="6" numFmtId="2" xfId="0" applyAlignment="1" applyBorder="1" applyFont="1" applyNumberFormat="1">
      <alignment horizontal="right" readingOrder="0" shrinkToFit="0" vertical="bottom" wrapText="0"/>
    </xf>
    <xf borderId="11" fillId="0" fontId="6" numFmtId="10" xfId="0" applyAlignment="1" applyBorder="1" applyFont="1" applyNumberFormat="1">
      <alignment horizontal="right" readingOrder="0" shrinkToFit="0" vertical="bottom" wrapText="0"/>
    </xf>
    <xf borderId="6" fillId="0" fontId="8" numFmtId="0" xfId="0" applyAlignment="1" applyBorder="1" applyFont="1">
      <alignment readingOrder="0" shrinkToFit="0" vertical="bottom" wrapText="0"/>
    </xf>
    <xf borderId="11" fillId="0" fontId="6" numFmtId="2" xfId="0" applyAlignment="1" applyBorder="1" applyFont="1" applyNumberFormat="1">
      <alignment horizontal="center" readingOrder="0" shrinkToFit="0" vertical="bottom" wrapText="0"/>
    </xf>
    <xf borderId="4" fillId="0" fontId="10" numFmtId="0" xfId="0" applyAlignment="1" applyBorder="1" applyFont="1">
      <alignment horizontal="center" vertical="bottom"/>
    </xf>
    <xf borderId="4" fillId="0" fontId="7" numFmtId="0" xfId="0" applyBorder="1" applyFont="1"/>
    <xf borderId="1" fillId="0" fontId="2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horizontal="right" readingOrder="0" shrinkToFit="0" vertical="bottom" wrapText="0"/>
    </xf>
    <xf borderId="3" fillId="0" fontId="2" numFmtId="2" xfId="0" applyAlignment="1" applyBorder="1" applyFont="1" applyNumberFormat="1">
      <alignment horizontal="right" readingOrder="0" shrinkToFit="0" vertical="bottom" wrapText="0"/>
    </xf>
    <xf borderId="2" fillId="0" fontId="11" numFmtId="0" xfId="0" applyAlignment="1" applyBorder="1" applyFont="1">
      <alignment readingOrder="0"/>
    </xf>
    <xf borderId="7" fillId="0" fontId="11" numFmtId="2" xfId="0" applyBorder="1" applyFont="1" applyNumberFormat="1"/>
    <xf borderId="0" fillId="0" fontId="10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1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Men!$B$16:$E$16</c:f>
            </c:numRef>
          </c:xVal>
          <c:yVal>
            <c:numRef>
              <c:f>Men!$B$17:$E$17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9767911"/>
        <c:axId val="629818345"/>
      </c:scatterChart>
      <c:valAx>
        <c:axId val="6597679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9818345"/>
      </c:valAx>
      <c:valAx>
        <c:axId val="629818345"/>
        <c:scaling>
          <c:orientation val="minMax"/>
          <c:max val="2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97679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Women!$B$16:$E$16</c:f>
            </c:numRef>
          </c:xVal>
          <c:yVal>
            <c:numRef>
              <c:f>Women!$B$17:$E$17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5125417"/>
        <c:axId val="1525400658"/>
      </c:scatterChart>
      <c:valAx>
        <c:axId val="21451254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5400658"/>
      </c:valAx>
      <c:valAx>
        <c:axId val="1525400658"/>
        <c:scaling>
          <c:orientation val="minMax"/>
          <c:max val="2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51254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22</xdr:row>
      <xdr:rowOff>190500</xdr:rowOff>
    </xdr:from>
    <xdr:ext cx="4848225" cy="3009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22</xdr:row>
      <xdr:rowOff>190500</xdr:rowOff>
    </xdr:from>
    <xdr:ext cx="4791075" cy="29527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6" max="6" width="17.5"/>
    <col customWidth="1" min="10" max="10" width="17.5"/>
    <col customWidth="1" min="14" max="14" width="17.5"/>
  </cols>
  <sheetData>
    <row r="1">
      <c r="A1" s="1"/>
      <c r="B1" s="2" t="s">
        <v>0</v>
      </c>
      <c r="C1" s="3"/>
      <c r="D1" s="3"/>
      <c r="E1" s="3"/>
      <c r="F1" s="2" t="s">
        <v>1</v>
      </c>
      <c r="G1" s="3"/>
      <c r="H1" s="3"/>
      <c r="I1" s="3"/>
      <c r="J1" s="2" t="s">
        <v>2</v>
      </c>
      <c r="K1" s="3"/>
      <c r="L1" s="3"/>
      <c r="M1" s="3"/>
      <c r="N1" s="2" t="s">
        <v>3</v>
      </c>
      <c r="O1" s="1"/>
      <c r="P1" s="1"/>
      <c r="Q1" s="3"/>
    </row>
    <row r="2">
      <c r="A2" s="4" t="s">
        <v>4</v>
      </c>
      <c r="B2" s="5" t="s">
        <v>5</v>
      </c>
      <c r="C2" s="5" t="s">
        <v>6</v>
      </c>
      <c r="D2" s="5" t="s">
        <v>7</v>
      </c>
      <c r="E2" s="6" t="s">
        <v>8</v>
      </c>
      <c r="F2" s="5" t="s">
        <v>5</v>
      </c>
      <c r="G2" s="5" t="s">
        <v>6</v>
      </c>
      <c r="H2" s="5" t="s">
        <v>7</v>
      </c>
      <c r="I2" s="6" t="s">
        <v>9</v>
      </c>
      <c r="J2" s="5" t="s">
        <v>5</v>
      </c>
      <c r="K2" s="5" t="s">
        <v>6</v>
      </c>
      <c r="L2" s="5" t="s">
        <v>7</v>
      </c>
      <c r="M2" s="6" t="s">
        <v>10</v>
      </c>
      <c r="N2" s="5" t="s">
        <v>5</v>
      </c>
      <c r="O2" s="5" t="s">
        <v>6</v>
      </c>
      <c r="P2" s="5" t="s">
        <v>7</v>
      </c>
      <c r="Q2" s="6" t="s">
        <v>11</v>
      </c>
    </row>
    <row r="3">
      <c r="A3" s="7" t="s">
        <v>12</v>
      </c>
      <c r="B3" s="8">
        <v>20.47</v>
      </c>
      <c r="C3" s="8">
        <v>20.53</v>
      </c>
      <c r="D3" s="8">
        <v>20.38</v>
      </c>
      <c r="E3" s="9">
        <f t="shared" ref="E3:E12" si="1">average(B3:D3)</f>
        <v>20.46</v>
      </c>
      <c r="F3" s="8">
        <v>20.48</v>
      </c>
      <c r="G3" s="8">
        <v>20.59</v>
      </c>
      <c r="H3" s="8">
        <v>20.41</v>
      </c>
      <c r="I3" s="9">
        <f>average(F3:H3)</f>
        <v>20.49333333</v>
      </c>
      <c r="J3" s="8">
        <v>21.36</v>
      </c>
      <c r="K3" s="8">
        <v>21.04</v>
      </c>
      <c r="L3" s="8">
        <v>20.92</v>
      </c>
      <c r="M3" s="9">
        <f t="shared" ref="M3:M8" si="2">average(J3:L3)</f>
        <v>21.10666667</v>
      </c>
      <c r="N3" s="8">
        <v>21.55</v>
      </c>
      <c r="O3" s="8">
        <v>21.53</v>
      </c>
      <c r="P3" s="8">
        <v>21.27</v>
      </c>
      <c r="Q3" s="9">
        <f t="shared" ref="Q3:Q5" si="3">average(N3:P3)</f>
        <v>21.45</v>
      </c>
    </row>
    <row r="4">
      <c r="A4" s="7" t="s">
        <v>13</v>
      </c>
      <c r="B4" s="8">
        <v>18.63</v>
      </c>
      <c r="C4" s="8">
        <v>18.71</v>
      </c>
      <c r="D4" s="8">
        <v>18.41</v>
      </c>
      <c r="E4" s="9">
        <f t="shared" si="1"/>
        <v>18.58333333</v>
      </c>
      <c r="F4" s="10" t="s">
        <v>14</v>
      </c>
      <c r="G4" s="10" t="s">
        <v>14</v>
      </c>
      <c r="H4" s="10" t="s">
        <v>14</v>
      </c>
      <c r="I4" s="9" t="s">
        <v>15</v>
      </c>
      <c r="J4" s="8">
        <v>18.17</v>
      </c>
      <c r="K4" s="8">
        <v>18.92</v>
      </c>
      <c r="L4" s="8">
        <v>18.04</v>
      </c>
      <c r="M4" s="9">
        <f t="shared" si="2"/>
        <v>18.37666667</v>
      </c>
      <c r="N4" s="8">
        <v>17.79</v>
      </c>
      <c r="O4" s="8">
        <v>18.4</v>
      </c>
      <c r="P4" s="8">
        <v>18.44</v>
      </c>
      <c r="Q4" s="9">
        <f t="shared" si="3"/>
        <v>18.21</v>
      </c>
    </row>
    <row r="5">
      <c r="A5" s="7" t="s">
        <v>16</v>
      </c>
      <c r="B5" s="8">
        <v>16.14</v>
      </c>
      <c r="C5" s="8">
        <v>16.15</v>
      </c>
      <c r="D5" s="8">
        <v>16.99</v>
      </c>
      <c r="E5" s="9">
        <f t="shared" si="1"/>
        <v>16.42666667</v>
      </c>
      <c r="F5" s="8">
        <v>18.21</v>
      </c>
      <c r="G5" s="8">
        <v>18.51</v>
      </c>
      <c r="H5" s="8">
        <v>17.86</v>
      </c>
      <c r="I5" s="9">
        <f>average(F5:H5)</f>
        <v>18.19333333</v>
      </c>
      <c r="J5" s="8">
        <v>17.82</v>
      </c>
      <c r="K5" s="8">
        <v>17.63</v>
      </c>
      <c r="L5" s="8">
        <v>17.93</v>
      </c>
      <c r="M5" s="9">
        <f t="shared" si="2"/>
        <v>17.79333333</v>
      </c>
      <c r="N5" s="8">
        <v>16.7</v>
      </c>
      <c r="O5" s="8">
        <v>17.45</v>
      </c>
      <c r="P5" s="8">
        <v>17.29</v>
      </c>
      <c r="Q5" s="9">
        <f t="shared" si="3"/>
        <v>17.14666667</v>
      </c>
    </row>
    <row r="6">
      <c r="A6" s="7" t="s">
        <v>17</v>
      </c>
      <c r="B6" s="8">
        <v>19.22</v>
      </c>
      <c r="C6" s="8">
        <v>19.13</v>
      </c>
      <c r="D6" s="8">
        <v>17.84</v>
      </c>
      <c r="E6" s="9">
        <f t="shared" si="1"/>
        <v>18.73</v>
      </c>
      <c r="F6" s="10" t="s">
        <v>14</v>
      </c>
      <c r="G6" s="10" t="s">
        <v>14</v>
      </c>
      <c r="H6" s="10" t="s">
        <v>14</v>
      </c>
      <c r="I6" s="9" t="s">
        <v>15</v>
      </c>
      <c r="J6" s="8">
        <v>20.44</v>
      </c>
      <c r="K6" s="8">
        <v>20.06</v>
      </c>
      <c r="L6" s="8">
        <v>18.75</v>
      </c>
      <c r="M6" s="9">
        <f t="shared" si="2"/>
        <v>19.75</v>
      </c>
      <c r="N6" s="10" t="s">
        <v>14</v>
      </c>
      <c r="O6" s="10" t="s">
        <v>14</v>
      </c>
      <c r="P6" s="10" t="s">
        <v>14</v>
      </c>
      <c r="Q6" s="9" t="s">
        <v>15</v>
      </c>
    </row>
    <row r="7">
      <c r="A7" s="7" t="s">
        <v>18</v>
      </c>
      <c r="B7" s="8">
        <v>20.97</v>
      </c>
      <c r="C7" s="8">
        <v>21.76</v>
      </c>
      <c r="D7" s="8">
        <v>21.68</v>
      </c>
      <c r="E7" s="9">
        <f t="shared" si="1"/>
        <v>21.47</v>
      </c>
      <c r="F7" s="10" t="s">
        <v>14</v>
      </c>
      <c r="G7" s="10" t="s">
        <v>14</v>
      </c>
      <c r="H7" s="10" t="s">
        <v>14</v>
      </c>
      <c r="I7" s="9" t="s">
        <v>15</v>
      </c>
      <c r="J7" s="8">
        <v>20.66</v>
      </c>
      <c r="K7" s="8">
        <v>19.6</v>
      </c>
      <c r="L7" s="8">
        <v>21.42</v>
      </c>
      <c r="M7" s="9">
        <f t="shared" si="2"/>
        <v>20.56</v>
      </c>
      <c r="N7" s="8">
        <v>20.22</v>
      </c>
      <c r="O7" s="8">
        <v>20.59</v>
      </c>
      <c r="P7" s="8">
        <v>19.91</v>
      </c>
      <c r="Q7" s="9">
        <f t="shared" ref="Q7:Q8" si="4">average(N7:P7)</f>
        <v>20.24</v>
      </c>
    </row>
    <row r="8">
      <c r="A8" s="7" t="s">
        <v>19</v>
      </c>
      <c r="B8" s="8">
        <v>19.45</v>
      </c>
      <c r="C8" s="8">
        <v>19.17</v>
      </c>
      <c r="D8" s="8">
        <v>19.53</v>
      </c>
      <c r="E8" s="9">
        <f t="shared" si="1"/>
        <v>19.38333333</v>
      </c>
      <c r="F8" s="8">
        <v>19.31</v>
      </c>
      <c r="G8" s="8">
        <v>20.07</v>
      </c>
      <c r="H8" s="8">
        <v>20.34</v>
      </c>
      <c r="I8" s="9">
        <f t="shared" ref="I8:I12" si="5">average(F8:H8)</f>
        <v>19.90666667</v>
      </c>
      <c r="J8" s="8">
        <v>19.78</v>
      </c>
      <c r="K8" s="8">
        <v>19.8</v>
      </c>
      <c r="L8" s="8">
        <v>19.92</v>
      </c>
      <c r="M8" s="9">
        <f t="shared" si="2"/>
        <v>19.83333333</v>
      </c>
      <c r="N8" s="8">
        <v>19.43</v>
      </c>
      <c r="O8" s="8">
        <v>19.09</v>
      </c>
      <c r="P8" s="8">
        <v>18.67</v>
      </c>
      <c r="Q8" s="9">
        <f t="shared" si="4"/>
        <v>19.06333333</v>
      </c>
    </row>
    <row r="9">
      <c r="A9" s="7" t="s">
        <v>20</v>
      </c>
      <c r="B9" s="8">
        <v>17.21</v>
      </c>
      <c r="C9" s="8">
        <v>17.35</v>
      </c>
      <c r="D9" s="8">
        <v>17.31</v>
      </c>
      <c r="E9" s="9">
        <f t="shared" si="1"/>
        <v>17.29</v>
      </c>
      <c r="F9" s="8">
        <v>17.35</v>
      </c>
      <c r="G9" s="8">
        <v>17.25</v>
      </c>
      <c r="H9" s="8">
        <v>17.31</v>
      </c>
      <c r="I9" s="9">
        <f t="shared" si="5"/>
        <v>17.30333333</v>
      </c>
      <c r="J9" s="10" t="s">
        <v>14</v>
      </c>
      <c r="K9" s="10" t="s">
        <v>14</v>
      </c>
      <c r="L9" s="10" t="s">
        <v>14</v>
      </c>
      <c r="M9" s="9" t="s">
        <v>15</v>
      </c>
      <c r="N9" s="10" t="s">
        <v>14</v>
      </c>
      <c r="O9" s="10" t="s">
        <v>14</v>
      </c>
      <c r="P9" s="10" t="s">
        <v>14</v>
      </c>
      <c r="Q9" s="9" t="s">
        <v>15</v>
      </c>
    </row>
    <row r="10">
      <c r="A10" s="7" t="s">
        <v>21</v>
      </c>
      <c r="B10" s="8">
        <v>19.79</v>
      </c>
      <c r="C10" s="8">
        <v>20.98</v>
      </c>
      <c r="D10" s="8">
        <v>19.88</v>
      </c>
      <c r="E10" s="9">
        <f t="shared" si="1"/>
        <v>20.21666667</v>
      </c>
      <c r="F10" s="8">
        <v>18.38</v>
      </c>
      <c r="G10" s="8">
        <v>19.42</v>
      </c>
      <c r="H10" s="8">
        <v>19.54</v>
      </c>
      <c r="I10" s="9">
        <f t="shared" si="5"/>
        <v>19.11333333</v>
      </c>
      <c r="J10" s="8">
        <v>19.98</v>
      </c>
      <c r="K10" s="8">
        <v>20.16</v>
      </c>
      <c r="L10" s="8">
        <v>19.62</v>
      </c>
      <c r="M10" s="9">
        <f t="shared" ref="M10:M12" si="6">average(J10:L10)</f>
        <v>19.92</v>
      </c>
      <c r="N10" s="10" t="s">
        <v>14</v>
      </c>
      <c r="O10" s="10" t="s">
        <v>14</v>
      </c>
      <c r="P10" s="10" t="s">
        <v>14</v>
      </c>
      <c r="Q10" s="9" t="s">
        <v>15</v>
      </c>
    </row>
    <row r="11">
      <c r="A11" s="7" t="s">
        <v>22</v>
      </c>
      <c r="B11" s="8">
        <v>17.32</v>
      </c>
      <c r="C11" s="8">
        <v>17.49</v>
      </c>
      <c r="D11" s="8">
        <v>17.01</v>
      </c>
      <c r="E11" s="9">
        <f t="shared" si="1"/>
        <v>17.27333333</v>
      </c>
      <c r="F11" s="8">
        <v>16.87</v>
      </c>
      <c r="G11" s="8">
        <v>16.44</v>
      </c>
      <c r="H11" s="8">
        <v>15.7</v>
      </c>
      <c r="I11" s="9">
        <f t="shared" si="5"/>
        <v>16.33666667</v>
      </c>
      <c r="J11" s="8">
        <v>15.68</v>
      </c>
      <c r="K11" s="8">
        <v>15.29</v>
      </c>
      <c r="L11" s="8">
        <v>15.88</v>
      </c>
      <c r="M11" s="9">
        <f t="shared" si="6"/>
        <v>15.61666667</v>
      </c>
      <c r="N11" s="10" t="s">
        <v>14</v>
      </c>
      <c r="O11" s="10" t="s">
        <v>14</v>
      </c>
      <c r="P11" s="10" t="s">
        <v>14</v>
      </c>
      <c r="Q11" s="9" t="s">
        <v>15</v>
      </c>
    </row>
    <row r="12">
      <c r="A12" s="7" t="s">
        <v>23</v>
      </c>
      <c r="B12" s="8">
        <v>16.29</v>
      </c>
      <c r="C12" s="8">
        <v>17.83</v>
      </c>
      <c r="D12" s="8">
        <v>17.62</v>
      </c>
      <c r="E12" s="9">
        <f t="shared" si="1"/>
        <v>17.24666667</v>
      </c>
      <c r="F12" s="8">
        <v>17.69</v>
      </c>
      <c r="G12" s="8">
        <v>17.47</v>
      </c>
      <c r="H12" s="8">
        <v>17.63</v>
      </c>
      <c r="I12" s="9">
        <f t="shared" si="5"/>
        <v>17.59666667</v>
      </c>
      <c r="J12" s="8">
        <v>17.89</v>
      </c>
      <c r="K12" s="8">
        <v>17.73</v>
      </c>
      <c r="L12" s="8">
        <v>18.39</v>
      </c>
      <c r="M12" s="9">
        <f t="shared" si="6"/>
        <v>18.00333333</v>
      </c>
      <c r="N12" s="8">
        <v>17.63</v>
      </c>
      <c r="O12" s="8">
        <v>17.84</v>
      </c>
      <c r="P12" s="8">
        <v>17.64</v>
      </c>
      <c r="Q12" s="9">
        <f>average(N12:P12)</f>
        <v>17.70333333</v>
      </c>
    </row>
    <row r="13">
      <c r="A13" s="7" t="s">
        <v>24</v>
      </c>
      <c r="B13" s="10" t="s">
        <v>14</v>
      </c>
      <c r="C13" s="10" t="s">
        <v>14</v>
      </c>
      <c r="D13" s="10" t="s">
        <v>14</v>
      </c>
      <c r="E13" s="9" t="s">
        <v>15</v>
      </c>
      <c r="F13" s="8">
        <v>19.86</v>
      </c>
      <c r="G13" s="8">
        <v>20.48</v>
      </c>
      <c r="H13" s="8">
        <v>21.39</v>
      </c>
      <c r="I13" s="9" t="s">
        <v>15</v>
      </c>
      <c r="J13" s="8">
        <v>19.62</v>
      </c>
      <c r="K13" s="8">
        <v>19.05</v>
      </c>
      <c r="L13" s="8">
        <v>21.24</v>
      </c>
      <c r="M13" s="9" t="s">
        <v>15</v>
      </c>
      <c r="N13" s="8">
        <v>20.47</v>
      </c>
      <c r="O13" s="8">
        <v>20.87</v>
      </c>
      <c r="P13" s="8">
        <v>21.23</v>
      </c>
      <c r="Q13" s="9" t="s">
        <v>15</v>
      </c>
    </row>
    <row r="14">
      <c r="A14" s="11"/>
      <c r="B14" s="1"/>
      <c r="C14" s="1"/>
      <c r="D14" s="1"/>
      <c r="E14" s="9"/>
      <c r="F14" s="1"/>
      <c r="G14" s="1"/>
      <c r="H14" s="1"/>
      <c r="I14" s="9"/>
      <c r="J14" s="1"/>
      <c r="K14" s="1"/>
      <c r="L14" s="1"/>
      <c r="M14" s="9"/>
      <c r="N14" s="1"/>
      <c r="O14" s="1"/>
      <c r="P14" s="1"/>
      <c r="Q14" s="9"/>
    </row>
    <row r="15">
      <c r="A15" s="12" t="s">
        <v>25</v>
      </c>
      <c r="B15" s="1"/>
      <c r="C15" s="1"/>
      <c r="D15" s="1"/>
      <c r="E15" s="9"/>
      <c r="F15" s="1"/>
      <c r="G15" s="1"/>
      <c r="H15" s="1"/>
      <c r="I15" s="9"/>
      <c r="J15" s="1"/>
      <c r="K15" s="1"/>
      <c r="L15" s="1"/>
      <c r="M15" s="9"/>
      <c r="N15" s="1"/>
      <c r="O15" s="1"/>
      <c r="P15" s="1"/>
      <c r="Q15" s="9"/>
    </row>
    <row r="16">
      <c r="A16" s="7" t="s">
        <v>26</v>
      </c>
      <c r="B16" s="8">
        <v>13.53</v>
      </c>
      <c r="C16" s="8">
        <v>13.3</v>
      </c>
      <c r="D16" s="8">
        <v>13.3</v>
      </c>
      <c r="E16" s="9">
        <f t="shared" ref="E16:E25" si="7">average(B16:D16)</f>
        <v>13.37666667</v>
      </c>
      <c r="F16" s="8">
        <v>13.89</v>
      </c>
      <c r="G16" s="8">
        <v>13.57</v>
      </c>
      <c r="H16" s="8">
        <v>13.88</v>
      </c>
      <c r="I16" s="9">
        <f>average(F16:H16)</f>
        <v>13.78</v>
      </c>
      <c r="J16" s="8">
        <v>13.82</v>
      </c>
      <c r="K16" s="8">
        <v>13.94</v>
      </c>
      <c r="L16" s="8">
        <v>13.49</v>
      </c>
      <c r="M16" s="9">
        <f>average(J16:L16)</f>
        <v>13.75</v>
      </c>
      <c r="N16" s="8">
        <v>14.74</v>
      </c>
      <c r="O16" s="8">
        <v>14.81</v>
      </c>
      <c r="P16" s="8">
        <v>14.66</v>
      </c>
      <c r="Q16" s="9">
        <f>average(N16:P16)</f>
        <v>14.73666667</v>
      </c>
    </row>
    <row r="17">
      <c r="A17" s="12" t="s">
        <v>27</v>
      </c>
      <c r="B17" s="8">
        <v>14.1</v>
      </c>
      <c r="C17" s="8">
        <v>14.47</v>
      </c>
      <c r="D17" s="8">
        <v>15.15</v>
      </c>
      <c r="E17" s="9">
        <f t="shared" si="7"/>
        <v>14.57333333</v>
      </c>
      <c r="F17" s="10" t="s">
        <v>14</v>
      </c>
      <c r="G17" s="10" t="s">
        <v>14</v>
      </c>
      <c r="H17" s="10" t="s">
        <v>14</v>
      </c>
      <c r="I17" s="9" t="s">
        <v>15</v>
      </c>
      <c r="J17" s="10" t="s">
        <v>14</v>
      </c>
      <c r="K17" s="10" t="s">
        <v>14</v>
      </c>
      <c r="L17" s="10" t="s">
        <v>14</v>
      </c>
      <c r="M17" s="9" t="s">
        <v>15</v>
      </c>
      <c r="N17" s="10" t="s">
        <v>14</v>
      </c>
      <c r="O17" s="10" t="s">
        <v>14</v>
      </c>
      <c r="P17" s="10" t="s">
        <v>14</v>
      </c>
      <c r="Q17" s="9" t="s">
        <v>15</v>
      </c>
    </row>
    <row r="18">
      <c r="A18" s="7" t="s">
        <v>28</v>
      </c>
      <c r="B18" s="8">
        <v>14.49</v>
      </c>
      <c r="C18" s="8">
        <v>15.19</v>
      </c>
      <c r="D18" s="8">
        <v>14.8</v>
      </c>
      <c r="E18" s="9">
        <f t="shared" si="7"/>
        <v>14.82666667</v>
      </c>
      <c r="F18" s="8">
        <v>14.19</v>
      </c>
      <c r="G18" s="8">
        <v>14.28</v>
      </c>
      <c r="H18" s="8">
        <v>15.14</v>
      </c>
      <c r="I18" s="9">
        <f t="shared" ref="I18:I19" si="8">average(F18:H18)</f>
        <v>14.53666667</v>
      </c>
      <c r="J18" s="8">
        <v>15.34</v>
      </c>
      <c r="K18" s="8">
        <v>15.36</v>
      </c>
      <c r="L18" s="8">
        <v>15.18</v>
      </c>
      <c r="M18" s="9">
        <f>average(J18:L18)</f>
        <v>15.29333333</v>
      </c>
      <c r="N18" s="8">
        <v>15.28</v>
      </c>
      <c r="O18" s="8">
        <v>15.43</v>
      </c>
      <c r="P18" s="8">
        <v>14.92</v>
      </c>
      <c r="Q18" s="9">
        <f t="shared" ref="Q18:Q22" si="9">average(N18:P18)</f>
        <v>15.21</v>
      </c>
    </row>
    <row r="19">
      <c r="A19" s="12" t="s">
        <v>29</v>
      </c>
      <c r="B19" s="8">
        <v>15.52</v>
      </c>
      <c r="C19" s="8">
        <v>15.38</v>
      </c>
      <c r="D19" s="8">
        <v>15.2</v>
      </c>
      <c r="E19" s="9">
        <f t="shared" si="7"/>
        <v>15.36666667</v>
      </c>
      <c r="F19" s="8">
        <v>14.78</v>
      </c>
      <c r="G19" s="8">
        <v>15.13</v>
      </c>
      <c r="H19" s="8">
        <v>14.49</v>
      </c>
      <c r="I19" s="9">
        <f t="shared" si="8"/>
        <v>14.8</v>
      </c>
      <c r="J19" s="10" t="s">
        <v>14</v>
      </c>
      <c r="K19" s="10" t="s">
        <v>14</v>
      </c>
      <c r="L19" s="10" t="s">
        <v>14</v>
      </c>
      <c r="M19" s="9" t="s">
        <v>15</v>
      </c>
      <c r="N19" s="8">
        <v>14.94</v>
      </c>
      <c r="O19" s="8">
        <v>14.91</v>
      </c>
      <c r="P19" s="8">
        <v>14.93</v>
      </c>
      <c r="Q19" s="9">
        <f t="shared" si="9"/>
        <v>14.92666667</v>
      </c>
    </row>
    <row r="20">
      <c r="A20" s="12" t="s">
        <v>30</v>
      </c>
      <c r="B20" s="8">
        <v>15.78</v>
      </c>
      <c r="C20" s="8">
        <v>15.34</v>
      </c>
      <c r="D20" s="8">
        <v>14.95</v>
      </c>
      <c r="E20" s="9">
        <f t="shared" si="7"/>
        <v>15.35666667</v>
      </c>
      <c r="F20" s="10" t="s">
        <v>14</v>
      </c>
      <c r="G20" s="10" t="s">
        <v>14</v>
      </c>
      <c r="H20" s="10" t="s">
        <v>14</v>
      </c>
      <c r="I20" s="9" t="s">
        <v>15</v>
      </c>
      <c r="J20" s="10" t="s">
        <v>14</v>
      </c>
      <c r="K20" s="10" t="s">
        <v>14</v>
      </c>
      <c r="L20" s="10" t="s">
        <v>14</v>
      </c>
      <c r="M20" s="9" t="s">
        <v>15</v>
      </c>
      <c r="N20" s="8">
        <v>14.21</v>
      </c>
      <c r="O20" s="8">
        <v>14.53</v>
      </c>
      <c r="P20" s="8">
        <v>13.81</v>
      </c>
      <c r="Q20" s="9">
        <f t="shared" si="9"/>
        <v>14.18333333</v>
      </c>
    </row>
    <row r="21">
      <c r="A21" s="7" t="s">
        <v>31</v>
      </c>
      <c r="B21" s="8">
        <v>16.15</v>
      </c>
      <c r="C21" s="8">
        <v>16.14</v>
      </c>
      <c r="D21" s="8">
        <v>16.16</v>
      </c>
      <c r="E21" s="9">
        <f t="shared" si="7"/>
        <v>16.15</v>
      </c>
      <c r="F21" s="10" t="s">
        <v>14</v>
      </c>
      <c r="G21" s="10" t="s">
        <v>14</v>
      </c>
      <c r="H21" s="10" t="s">
        <v>14</v>
      </c>
      <c r="I21" s="9" t="s">
        <v>15</v>
      </c>
      <c r="J21" s="8">
        <v>15.08</v>
      </c>
      <c r="K21" s="8">
        <v>14.96</v>
      </c>
      <c r="L21" s="8">
        <v>15.28</v>
      </c>
      <c r="M21" s="9">
        <f t="shared" ref="M21:M25" si="10">average(J21:L21)</f>
        <v>15.10666667</v>
      </c>
      <c r="N21" s="8">
        <v>15.67</v>
      </c>
      <c r="O21" s="8">
        <v>15.46</v>
      </c>
      <c r="P21" s="8">
        <v>15.43</v>
      </c>
      <c r="Q21" s="9">
        <f t="shared" si="9"/>
        <v>15.52</v>
      </c>
    </row>
    <row r="22">
      <c r="A22" s="12" t="s">
        <v>32</v>
      </c>
      <c r="B22" s="8">
        <v>14.44</v>
      </c>
      <c r="C22" s="8">
        <v>15.25</v>
      </c>
      <c r="D22" s="8">
        <v>14.98</v>
      </c>
      <c r="E22" s="9">
        <f t="shared" si="7"/>
        <v>14.89</v>
      </c>
      <c r="F22" s="8">
        <v>14.2</v>
      </c>
      <c r="G22" s="8">
        <v>14.15</v>
      </c>
      <c r="H22" s="8">
        <v>14.02</v>
      </c>
      <c r="I22" s="9">
        <f t="shared" ref="I22:I24" si="11">average(F22:H22)</f>
        <v>14.12333333</v>
      </c>
      <c r="J22" s="8">
        <v>14.95</v>
      </c>
      <c r="K22" s="8">
        <v>14.52</v>
      </c>
      <c r="L22" s="8">
        <v>15.28</v>
      </c>
      <c r="M22" s="9">
        <f t="shared" si="10"/>
        <v>14.91666667</v>
      </c>
      <c r="N22" s="8">
        <v>14.2</v>
      </c>
      <c r="O22" s="8">
        <v>14.15</v>
      </c>
      <c r="P22" s="8">
        <v>14.02</v>
      </c>
      <c r="Q22" s="9">
        <f t="shared" si="9"/>
        <v>14.12333333</v>
      </c>
    </row>
    <row r="23">
      <c r="A23" s="7" t="s">
        <v>33</v>
      </c>
      <c r="B23" s="8">
        <v>13.33</v>
      </c>
      <c r="C23" s="8">
        <v>13.47</v>
      </c>
      <c r="D23" s="8">
        <v>14.34</v>
      </c>
      <c r="E23" s="9">
        <f t="shared" si="7"/>
        <v>13.71333333</v>
      </c>
      <c r="F23" s="8">
        <v>13.51</v>
      </c>
      <c r="G23" s="8">
        <v>13.56</v>
      </c>
      <c r="H23" s="8">
        <v>13.78</v>
      </c>
      <c r="I23" s="9">
        <f t="shared" si="11"/>
        <v>13.61666667</v>
      </c>
      <c r="J23" s="8">
        <v>13.92</v>
      </c>
      <c r="K23" s="8">
        <v>13.86</v>
      </c>
      <c r="L23" s="8">
        <v>13.74</v>
      </c>
      <c r="M23" s="9">
        <f t="shared" si="10"/>
        <v>13.84</v>
      </c>
      <c r="N23" s="10" t="s">
        <v>14</v>
      </c>
      <c r="O23" s="10" t="s">
        <v>14</v>
      </c>
      <c r="P23" s="10" t="s">
        <v>14</v>
      </c>
      <c r="Q23" s="9" t="s">
        <v>15</v>
      </c>
    </row>
    <row r="24">
      <c r="A24" s="7" t="s">
        <v>34</v>
      </c>
      <c r="B24" s="8">
        <v>14.42</v>
      </c>
      <c r="C24" s="8">
        <v>14.76</v>
      </c>
      <c r="D24" s="8">
        <v>15.04</v>
      </c>
      <c r="E24" s="9">
        <f t="shared" si="7"/>
        <v>14.74</v>
      </c>
      <c r="F24" s="8">
        <v>14.23</v>
      </c>
      <c r="G24" s="8">
        <v>14.53</v>
      </c>
      <c r="H24" s="8">
        <v>14.34</v>
      </c>
      <c r="I24" s="9">
        <f t="shared" si="11"/>
        <v>14.36666667</v>
      </c>
      <c r="J24" s="8">
        <v>15.12</v>
      </c>
      <c r="K24" s="8">
        <v>14.66</v>
      </c>
      <c r="L24" s="8">
        <v>15.06</v>
      </c>
      <c r="M24" s="9">
        <f t="shared" si="10"/>
        <v>14.94666667</v>
      </c>
      <c r="N24" s="8">
        <v>14.89</v>
      </c>
      <c r="O24" s="8">
        <v>15.0</v>
      </c>
      <c r="P24" s="8">
        <v>14.98</v>
      </c>
      <c r="Q24" s="9">
        <f t="shared" ref="Q24:Q25" si="12">average(N24:P24)</f>
        <v>14.95666667</v>
      </c>
    </row>
    <row r="25">
      <c r="A25" s="7" t="s">
        <v>35</v>
      </c>
      <c r="B25" s="8">
        <v>12.5</v>
      </c>
      <c r="C25" s="8">
        <v>12.87</v>
      </c>
      <c r="D25" s="8">
        <v>12.95</v>
      </c>
      <c r="E25" s="9">
        <f t="shared" si="7"/>
        <v>12.77333333</v>
      </c>
      <c r="F25" s="10" t="s">
        <v>14</v>
      </c>
      <c r="G25" s="10" t="s">
        <v>14</v>
      </c>
      <c r="H25" s="10" t="s">
        <v>14</v>
      </c>
      <c r="I25" s="9" t="s">
        <v>15</v>
      </c>
      <c r="J25" s="8">
        <v>12.68</v>
      </c>
      <c r="K25" s="8">
        <v>13.43</v>
      </c>
      <c r="L25" s="8">
        <v>12.52</v>
      </c>
      <c r="M25" s="9">
        <f t="shared" si="10"/>
        <v>12.87666667</v>
      </c>
      <c r="N25" s="8">
        <v>13.05</v>
      </c>
      <c r="O25" s="8">
        <v>12.73</v>
      </c>
      <c r="P25" s="8">
        <v>12.95</v>
      </c>
      <c r="Q25" s="9">
        <f t="shared" si="12"/>
        <v>12.91</v>
      </c>
    </row>
    <row r="26">
      <c r="A26" s="13" t="s">
        <v>36</v>
      </c>
      <c r="B26" s="14" t="s">
        <v>14</v>
      </c>
      <c r="C26" s="14" t="s">
        <v>14</v>
      </c>
      <c r="D26" s="14" t="s">
        <v>14</v>
      </c>
      <c r="E26" s="15" t="s">
        <v>15</v>
      </c>
      <c r="F26" s="16">
        <v>14.34</v>
      </c>
      <c r="G26" s="16">
        <v>16.59</v>
      </c>
      <c r="H26" s="16">
        <v>14.93</v>
      </c>
      <c r="I26" s="15">
        <f>average(F26:H26)</f>
        <v>15.28666667</v>
      </c>
      <c r="J26" s="14" t="s">
        <v>14</v>
      </c>
      <c r="K26" s="14" t="s">
        <v>14</v>
      </c>
      <c r="L26" s="14" t="s">
        <v>14</v>
      </c>
      <c r="M26" s="15" t="s">
        <v>15</v>
      </c>
      <c r="N26" s="14" t="s">
        <v>14</v>
      </c>
      <c r="O26" s="14" t="s">
        <v>14</v>
      </c>
      <c r="P26" s="14" t="s">
        <v>14</v>
      </c>
      <c r="Q26" s="15" t="s">
        <v>15</v>
      </c>
    </row>
    <row r="28">
      <c r="B28" s="17" t="s">
        <v>37</v>
      </c>
      <c r="C28" s="18">
        <f>ROUND(AVERAGE(E3:E13), 2)</f>
        <v>18.71</v>
      </c>
      <c r="F28" s="17" t="s">
        <v>37</v>
      </c>
      <c r="G28" s="18">
        <f>ROUND(AVERAGE(I3:I13), 2)</f>
        <v>18.42</v>
      </c>
      <c r="J28" s="17" t="s">
        <v>37</v>
      </c>
      <c r="K28" s="18">
        <f>ROUND(AVERAGE(M3:M13), 2)</f>
        <v>19</v>
      </c>
      <c r="N28" s="17" t="s">
        <v>37</v>
      </c>
      <c r="O28" s="18">
        <f>ROUND(AVERAGE(Q3:Q13), 2)</f>
        <v>18.97</v>
      </c>
    </row>
    <row r="29">
      <c r="B29" s="19"/>
      <c r="C29" s="1"/>
      <c r="F29" s="19"/>
      <c r="G29" s="1"/>
      <c r="J29" s="19"/>
      <c r="K29" s="1"/>
      <c r="N29" s="19"/>
      <c r="O29" s="1"/>
    </row>
    <row r="30">
      <c r="B30" s="17" t="s">
        <v>38</v>
      </c>
      <c r="C30" s="18">
        <f>ROUND(AVERAGE(E3:E13), 2)</f>
        <v>18.71</v>
      </c>
      <c r="F30" s="17" t="s">
        <v>38</v>
      </c>
      <c r="G30" s="18">
        <f>ROUND(AVERAGE(I3:I13), 2)</f>
        <v>18.42</v>
      </c>
      <c r="J30" s="17" t="s">
        <v>38</v>
      </c>
      <c r="K30" s="18">
        <f>ROUND(AVERAGE(M3:M13), 2)</f>
        <v>19</v>
      </c>
      <c r="N30" s="17" t="s">
        <v>38</v>
      </c>
      <c r="O30" s="18">
        <f>ROUND(AVERAGE(Q3:Q13), 2)</f>
        <v>18.97</v>
      </c>
    </row>
    <row r="31">
      <c r="B31" s="19"/>
      <c r="C31" s="1"/>
      <c r="F31" s="19"/>
      <c r="G31" s="1"/>
      <c r="J31" s="19"/>
      <c r="K31" s="1"/>
      <c r="N31" s="19"/>
      <c r="O31" s="1"/>
    </row>
    <row r="32">
      <c r="B32" s="17" t="s">
        <v>39</v>
      </c>
      <c r="C32" s="10" t="s">
        <v>15</v>
      </c>
      <c r="F32" s="17" t="s">
        <v>39</v>
      </c>
      <c r="G32" s="10" t="s">
        <v>15</v>
      </c>
      <c r="J32" s="17" t="s">
        <v>39</v>
      </c>
      <c r="K32" s="10" t="s">
        <v>15</v>
      </c>
      <c r="N32" s="17" t="s">
        <v>39</v>
      </c>
      <c r="O32" s="10" t="s">
        <v>15</v>
      </c>
    </row>
    <row r="33">
      <c r="B33" s="19"/>
      <c r="C33" s="1"/>
      <c r="F33" s="19"/>
      <c r="G33" s="1"/>
      <c r="J33" s="19"/>
      <c r="K33" s="1"/>
      <c r="N33" s="19"/>
      <c r="O33" s="1"/>
    </row>
    <row r="34">
      <c r="B34" s="17" t="s">
        <v>40</v>
      </c>
      <c r="C34" s="1"/>
      <c r="F34" s="17" t="s">
        <v>40</v>
      </c>
      <c r="G34" s="1"/>
      <c r="J34" s="17" t="s">
        <v>40</v>
      </c>
      <c r="K34" s="1"/>
      <c r="N34" s="17" t="s">
        <v>40</v>
      </c>
      <c r="O34" s="1"/>
    </row>
    <row r="35">
      <c r="B35" s="17" t="str">
        <f t="array" ref="B35">INDEX($A$3:$A$13, MATCH(MAX(E3:E13), E3:E13, 0))</f>
        <v>Ben L</v>
      </c>
      <c r="C35" s="18">
        <f>MAX(E3:E13)</f>
        <v>21.47</v>
      </c>
      <c r="F35" s="17" t="str">
        <f t="array" ref="F35">INDEX($A$3:$A$13, MATCH(MAX(I3:I13), I3:I13, 0))</f>
        <v>Bryce</v>
      </c>
      <c r="G35" s="18">
        <f>MAX(I3:I13)</f>
        <v>20.49333333</v>
      </c>
      <c r="J35" s="17" t="str">
        <f t="array" ref="J35">INDEX($A$3:$A$13, MATCH(MAX(M3:M13), M3:M13, 0))</f>
        <v>Bryce</v>
      </c>
      <c r="K35" s="18">
        <f>MAX(M3:M13)</f>
        <v>21.10666667</v>
      </c>
      <c r="N35" s="17" t="str">
        <f t="array" ref="N35">INDEX($A$3:$A$13, MATCH(MAX(Q3:Q13), Q3:Q13, 0))</f>
        <v>Bryce</v>
      </c>
      <c r="O35" s="18">
        <f>MAX(Q3:Q13)</f>
        <v>21.45</v>
      </c>
    </row>
    <row r="36">
      <c r="B36" s="20"/>
      <c r="C36" s="1"/>
      <c r="F36" s="20"/>
      <c r="G36" s="1"/>
      <c r="J36" s="20"/>
      <c r="K36" s="1"/>
      <c r="N36" s="20"/>
      <c r="O36" s="1"/>
    </row>
    <row r="37">
      <c r="B37" s="17" t="s">
        <v>41</v>
      </c>
      <c r="C37" s="18">
        <f>ROUND(AVERAGE(E16:E26), 2)</f>
        <v>14.58</v>
      </c>
      <c r="F37" s="17" t="s">
        <v>41</v>
      </c>
      <c r="G37" s="18">
        <f>ROUND(AVERAGE(I16:I26), 2)</f>
        <v>14.36</v>
      </c>
      <c r="J37" s="17" t="s">
        <v>41</v>
      </c>
      <c r="K37" s="18">
        <f>ROUND(AVERAGE(M16:M26), 2)</f>
        <v>14.39</v>
      </c>
      <c r="N37" s="17" t="s">
        <v>41</v>
      </c>
      <c r="O37" s="18">
        <f>ROUND(AVERAGE(Q16:Q26), 2)</f>
        <v>14.57</v>
      </c>
    </row>
    <row r="38">
      <c r="B38" s="19"/>
      <c r="C38" s="1"/>
      <c r="F38" s="19"/>
      <c r="G38" s="1"/>
      <c r="J38" s="19"/>
      <c r="K38" s="1"/>
      <c r="N38" s="19"/>
      <c r="O38" s="1"/>
    </row>
    <row r="39">
      <c r="B39" s="17" t="s">
        <v>42</v>
      </c>
      <c r="C39" s="18">
        <f>ROUND(AVERAGE(E16, E18, E21, E23, E24, E25), 2)</f>
        <v>14.26</v>
      </c>
      <c r="F39" s="17" t="s">
        <v>42</v>
      </c>
      <c r="G39" s="18">
        <f>ROUND(AVERAGE(I16, I18, I21, I23, I24, I25), 2)</f>
        <v>14.08</v>
      </c>
      <c r="J39" s="17" t="s">
        <v>42</v>
      </c>
      <c r="K39" s="18">
        <f>ROUND(AVERAGE(M16, M18, M21, M23, M24, M25), 2)</f>
        <v>14.3</v>
      </c>
      <c r="N39" s="17" t="s">
        <v>42</v>
      </c>
      <c r="O39" s="18">
        <f>ROUND(AVERAGE(Q16, Q18, Q21, Q23, Q24, Q25), 2)</f>
        <v>14.67</v>
      </c>
    </row>
    <row r="40">
      <c r="B40" s="19"/>
      <c r="C40" s="3"/>
      <c r="F40" s="19"/>
      <c r="G40" s="3"/>
      <c r="J40" s="19"/>
      <c r="K40" s="3"/>
      <c r="N40" s="19"/>
      <c r="O40" s="3"/>
    </row>
    <row r="41">
      <c r="B41" s="17" t="s">
        <v>43</v>
      </c>
      <c r="C41" s="18">
        <f>ROUND(AVERAGE(E17, E19, E20, E22, E26), 2)</f>
        <v>15.05</v>
      </c>
      <c r="F41" s="17" t="s">
        <v>43</v>
      </c>
      <c r="G41" s="18">
        <f>ROUND(AVERAGE(I17, I19, I20, I22, I26), 2)</f>
        <v>14.74</v>
      </c>
      <c r="J41" s="17" t="s">
        <v>43</v>
      </c>
      <c r="K41" s="18">
        <f>ROUND(AVERAGE(M17, M19, M20, M22, M26), 2)</f>
        <v>14.92</v>
      </c>
      <c r="N41" s="17" t="s">
        <v>43</v>
      </c>
      <c r="O41" s="18">
        <f>ROUND(AVERAGE(Q17, Q19, Q20, Q22, Q26), 2)</f>
        <v>14.41</v>
      </c>
    </row>
    <row r="42">
      <c r="B42" s="19"/>
      <c r="C42" s="3"/>
      <c r="F42" s="19"/>
      <c r="G42" s="3"/>
      <c r="J42" s="19"/>
      <c r="K42" s="3"/>
      <c r="N42" s="19"/>
      <c r="O42" s="3"/>
    </row>
    <row r="43">
      <c r="B43" s="17" t="s">
        <v>44</v>
      </c>
      <c r="C43" s="3"/>
      <c r="F43" s="17" t="s">
        <v>44</v>
      </c>
      <c r="G43" s="3"/>
      <c r="J43" s="17" t="s">
        <v>44</v>
      </c>
      <c r="K43" s="3"/>
      <c r="N43" s="17" t="s">
        <v>44</v>
      </c>
      <c r="O43" s="3"/>
    </row>
    <row r="44">
      <c r="B44" s="21" t="str">
        <f t="array" ref="B44">INDEX($A$16:$A$26, MATCH(MAX(E16:E26), E16:E26, 0))</f>
        <v>Piper</v>
      </c>
      <c r="C44" s="18">
        <f>MAX(E16:E26)</f>
        <v>16.15</v>
      </c>
      <c r="F44" s="21" t="str">
        <f t="array" ref="F44">INDEX($A$16:$A$26, MATCH(MAX(I16:I26), I16:I26, 0))</f>
        <v>Grace</v>
      </c>
      <c r="G44" s="18">
        <f>MAX(I16:I26)</f>
        <v>15.28666667</v>
      </c>
      <c r="J44" s="21" t="str">
        <f t="array" ref="J44">INDEX($A$16:$A$26, MATCH(MAX(M16:M26), M16:M26, 0))</f>
        <v>Caroline</v>
      </c>
      <c r="K44" s="18">
        <f>MAX(M16:M26)</f>
        <v>15.29333333</v>
      </c>
      <c r="N44" s="21" t="str">
        <f t="array" ref="N44">INDEX($A$16:$A$26, MATCH(MAX(Q16:Q26), Q16:Q26, 0))</f>
        <v>Piper</v>
      </c>
      <c r="O44" s="18">
        <f>MAX(Q16:Q26)</f>
        <v>15.52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15" max="15" width="18.13"/>
  </cols>
  <sheetData>
    <row r="1">
      <c r="A1" s="1"/>
      <c r="B1" s="2" t="s">
        <v>0</v>
      </c>
      <c r="C1" s="3"/>
      <c r="D1" s="3"/>
      <c r="E1" s="3"/>
      <c r="F1" s="2" t="s">
        <v>1</v>
      </c>
      <c r="G1" s="3"/>
      <c r="H1" s="3"/>
      <c r="I1" s="3"/>
      <c r="J1" s="2" t="s">
        <v>2</v>
      </c>
      <c r="K1" s="3"/>
      <c r="L1" s="3"/>
      <c r="M1" s="3"/>
      <c r="N1" s="2" t="s">
        <v>3</v>
      </c>
      <c r="O1" s="1"/>
      <c r="P1" s="1"/>
      <c r="Q1" s="3"/>
    </row>
    <row r="2">
      <c r="A2" s="4" t="s">
        <v>4</v>
      </c>
      <c r="B2" s="5" t="s">
        <v>5</v>
      </c>
      <c r="C2" s="5" t="s">
        <v>6</v>
      </c>
      <c r="D2" s="5" t="s">
        <v>7</v>
      </c>
      <c r="E2" s="6" t="s">
        <v>8</v>
      </c>
      <c r="F2" s="5" t="s">
        <v>5</v>
      </c>
      <c r="G2" s="5" t="s">
        <v>6</v>
      </c>
      <c r="H2" s="5" t="s">
        <v>7</v>
      </c>
      <c r="I2" s="6" t="s">
        <v>9</v>
      </c>
      <c r="J2" s="5" t="s">
        <v>5</v>
      </c>
      <c r="K2" s="5" t="s">
        <v>6</v>
      </c>
      <c r="L2" s="5" t="s">
        <v>7</v>
      </c>
      <c r="M2" s="6" t="s">
        <v>10</v>
      </c>
      <c r="N2" s="5" t="s">
        <v>5</v>
      </c>
      <c r="O2" s="5" t="s">
        <v>6</v>
      </c>
      <c r="P2" s="5" t="s">
        <v>7</v>
      </c>
      <c r="Q2" s="6" t="s">
        <v>11</v>
      </c>
    </row>
    <row r="3">
      <c r="A3" s="7" t="s">
        <v>12</v>
      </c>
      <c r="B3" s="8">
        <v>20.47</v>
      </c>
      <c r="C3" s="8">
        <v>20.53</v>
      </c>
      <c r="D3" s="8">
        <v>20.38</v>
      </c>
      <c r="E3" s="9">
        <f t="shared" ref="E3:E12" si="1">average(B3:D3)</f>
        <v>20.46</v>
      </c>
      <c r="F3" s="8">
        <v>20.48</v>
      </c>
      <c r="G3" s="8">
        <v>20.59</v>
      </c>
      <c r="H3" s="8">
        <v>20.41</v>
      </c>
      <c r="I3" s="9">
        <f>average(F3:H3)</f>
        <v>20.49333333</v>
      </c>
      <c r="J3" s="8">
        <v>21.36</v>
      </c>
      <c r="K3" s="8">
        <v>21.04</v>
      </c>
      <c r="L3" s="8">
        <v>20.92</v>
      </c>
      <c r="M3" s="9">
        <f t="shared" ref="M3:M8" si="2">average(J3:L3)</f>
        <v>21.10666667</v>
      </c>
      <c r="N3" s="8">
        <v>21.55</v>
      </c>
      <c r="O3" s="8">
        <v>21.53</v>
      </c>
      <c r="P3" s="8">
        <v>21.27</v>
      </c>
      <c r="Q3" s="9">
        <f t="shared" ref="Q3:Q5" si="3">average(N3:P3)</f>
        <v>21.45</v>
      </c>
    </row>
    <row r="4">
      <c r="A4" s="7" t="s">
        <v>13</v>
      </c>
      <c r="B4" s="8">
        <v>18.63</v>
      </c>
      <c r="C4" s="8">
        <v>18.71</v>
      </c>
      <c r="D4" s="8">
        <v>18.41</v>
      </c>
      <c r="E4" s="9">
        <f t="shared" si="1"/>
        <v>18.58333333</v>
      </c>
      <c r="F4" s="10" t="s">
        <v>14</v>
      </c>
      <c r="G4" s="10" t="s">
        <v>14</v>
      </c>
      <c r="H4" s="10" t="s">
        <v>14</v>
      </c>
      <c r="I4" s="9" t="s">
        <v>15</v>
      </c>
      <c r="J4" s="8">
        <v>18.17</v>
      </c>
      <c r="K4" s="8">
        <v>18.92</v>
      </c>
      <c r="L4" s="8">
        <v>18.04</v>
      </c>
      <c r="M4" s="9">
        <f t="shared" si="2"/>
        <v>18.37666667</v>
      </c>
      <c r="N4" s="8">
        <v>17.79</v>
      </c>
      <c r="O4" s="8">
        <v>18.4</v>
      </c>
      <c r="P4" s="8">
        <v>18.44</v>
      </c>
      <c r="Q4" s="9">
        <f t="shared" si="3"/>
        <v>18.21</v>
      </c>
    </row>
    <row r="5">
      <c r="A5" s="7" t="s">
        <v>16</v>
      </c>
      <c r="B5" s="8">
        <v>16.14</v>
      </c>
      <c r="C5" s="8">
        <v>16.15</v>
      </c>
      <c r="D5" s="8">
        <v>16.99</v>
      </c>
      <c r="E5" s="9">
        <f t="shared" si="1"/>
        <v>16.42666667</v>
      </c>
      <c r="F5" s="8">
        <v>18.21</v>
      </c>
      <c r="G5" s="8">
        <v>18.51</v>
      </c>
      <c r="H5" s="8">
        <v>17.86</v>
      </c>
      <c r="I5" s="9">
        <f>average(F5:H5)</f>
        <v>18.19333333</v>
      </c>
      <c r="J5" s="8">
        <v>17.82</v>
      </c>
      <c r="K5" s="8">
        <v>17.63</v>
      </c>
      <c r="L5" s="8">
        <v>17.93</v>
      </c>
      <c r="M5" s="9">
        <f t="shared" si="2"/>
        <v>17.79333333</v>
      </c>
      <c r="N5" s="8">
        <v>16.7</v>
      </c>
      <c r="O5" s="8">
        <v>17.45</v>
      </c>
      <c r="P5" s="8">
        <v>17.29</v>
      </c>
      <c r="Q5" s="9">
        <f t="shared" si="3"/>
        <v>17.14666667</v>
      </c>
    </row>
    <row r="6">
      <c r="A6" s="7" t="s">
        <v>17</v>
      </c>
      <c r="B6" s="8">
        <v>19.22</v>
      </c>
      <c r="C6" s="8">
        <v>19.13</v>
      </c>
      <c r="D6" s="8">
        <v>17.84</v>
      </c>
      <c r="E6" s="9">
        <f t="shared" si="1"/>
        <v>18.73</v>
      </c>
      <c r="F6" s="10" t="s">
        <v>14</v>
      </c>
      <c r="G6" s="10" t="s">
        <v>14</v>
      </c>
      <c r="H6" s="10" t="s">
        <v>14</v>
      </c>
      <c r="I6" s="9" t="s">
        <v>15</v>
      </c>
      <c r="J6" s="8">
        <v>20.44</v>
      </c>
      <c r="K6" s="8">
        <v>20.06</v>
      </c>
      <c r="L6" s="8">
        <v>18.75</v>
      </c>
      <c r="M6" s="9">
        <f t="shared" si="2"/>
        <v>19.75</v>
      </c>
      <c r="N6" s="10" t="s">
        <v>14</v>
      </c>
      <c r="O6" s="10" t="s">
        <v>14</v>
      </c>
      <c r="P6" s="10" t="s">
        <v>14</v>
      </c>
      <c r="Q6" s="9" t="s">
        <v>15</v>
      </c>
    </row>
    <row r="7">
      <c r="A7" s="7" t="s">
        <v>18</v>
      </c>
      <c r="B7" s="8">
        <v>20.97</v>
      </c>
      <c r="C7" s="8">
        <v>21.76</v>
      </c>
      <c r="D7" s="8">
        <v>21.68</v>
      </c>
      <c r="E7" s="9">
        <f t="shared" si="1"/>
        <v>21.47</v>
      </c>
      <c r="F7" s="10" t="s">
        <v>14</v>
      </c>
      <c r="G7" s="10" t="s">
        <v>14</v>
      </c>
      <c r="H7" s="10" t="s">
        <v>14</v>
      </c>
      <c r="I7" s="9" t="s">
        <v>15</v>
      </c>
      <c r="J7" s="8">
        <v>20.66</v>
      </c>
      <c r="K7" s="8">
        <v>19.6</v>
      </c>
      <c r="L7" s="8">
        <v>21.42</v>
      </c>
      <c r="M7" s="9">
        <f t="shared" si="2"/>
        <v>20.56</v>
      </c>
      <c r="N7" s="8">
        <v>20.22</v>
      </c>
      <c r="O7" s="8">
        <v>20.59</v>
      </c>
      <c r="P7" s="8">
        <v>19.91</v>
      </c>
      <c r="Q7" s="9">
        <f t="shared" ref="Q7:Q8" si="4">average(N7:P7)</f>
        <v>20.24</v>
      </c>
    </row>
    <row r="8">
      <c r="A8" s="7" t="s">
        <v>19</v>
      </c>
      <c r="B8" s="8">
        <v>19.45</v>
      </c>
      <c r="C8" s="8">
        <v>19.17</v>
      </c>
      <c r="D8" s="8">
        <v>19.53</v>
      </c>
      <c r="E8" s="9">
        <f t="shared" si="1"/>
        <v>19.38333333</v>
      </c>
      <c r="F8" s="8">
        <v>19.31</v>
      </c>
      <c r="G8" s="8">
        <v>20.07</v>
      </c>
      <c r="H8" s="8">
        <v>20.34</v>
      </c>
      <c r="I8" s="9">
        <f t="shared" ref="I8:I12" si="5">average(F8:H8)</f>
        <v>19.90666667</v>
      </c>
      <c r="J8" s="8">
        <v>19.78</v>
      </c>
      <c r="K8" s="8">
        <v>19.8</v>
      </c>
      <c r="L8" s="8">
        <v>19.92</v>
      </c>
      <c r="M8" s="9">
        <f t="shared" si="2"/>
        <v>19.83333333</v>
      </c>
      <c r="N8" s="8">
        <v>19.43</v>
      </c>
      <c r="O8" s="8">
        <v>19.09</v>
      </c>
      <c r="P8" s="8">
        <v>18.67</v>
      </c>
      <c r="Q8" s="9">
        <f t="shared" si="4"/>
        <v>19.06333333</v>
      </c>
    </row>
    <row r="9">
      <c r="A9" s="7" t="s">
        <v>20</v>
      </c>
      <c r="B9" s="8">
        <v>17.21</v>
      </c>
      <c r="C9" s="8">
        <v>17.35</v>
      </c>
      <c r="D9" s="8">
        <v>17.31</v>
      </c>
      <c r="E9" s="9">
        <f t="shared" si="1"/>
        <v>17.29</v>
      </c>
      <c r="F9" s="8">
        <v>17.35</v>
      </c>
      <c r="G9" s="8">
        <v>17.25</v>
      </c>
      <c r="H9" s="8">
        <v>17.31</v>
      </c>
      <c r="I9" s="9">
        <f t="shared" si="5"/>
        <v>17.30333333</v>
      </c>
      <c r="J9" s="10" t="s">
        <v>14</v>
      </c>
      <c r="K9" s="10" t="s">
        <v>14</v>
      </c>
      <c r="L9" s="10" t="s">
        <v>14</v>
      </c>
      <c r="M9" s="9" t="s">
        <v>15</v>
      </c>
      <c r="N9" s="10" t="s">
        <v>14</v>
      </c>
      <c r="O9" s="10" t="s">
        <v>14</v>
      </c>
      <c r="P9" s="10" t="s">
        <v>14</v>
      </c>
      <c r="Q9" s="9" t="s">
        <v>15</v>
      </c>
    </row>
    <row r="10">
      <c r="A10" s="7" t="s">
        <v>21</v>
      </c>
      <c r="B10" s="8">
        <v>19.79</v>
      </c>
      <c r="C10" s="8">
        <v>20.98</v>
      </c>
      <c r="D10" s="8">
        <v>19.88</v>
      </c>
      <c r="E10" s="9">
        <f t="shared" si="1"/>
        <v>20.21666667</v>
      </c>
      <c r="F10" s="8">
        <v>18.38</v>
      </c>
      <c r="G10" s="8">
        <v>19.42</v>
      </c>
      <c r="H10" s="8">
        <v>19.54</v>
      </c>
      <c r="I10" s="9">
        <f t="shared" si="5"/>
        <v>19.11333333</v>
      </c>
      <c r="J10" s="8">
        <v>19.98</v>
      </c>
      <c r="K10" s="8">
        <v>20.16</v>
      </c>
      <c r="L10" s="8">
        <v>19.62</v>
      </c>
      <c r="M10" s="9">
        <f t="shared" ref="M10:M12" si="6">average(J10:L10)</f>
        <v>19.92</v>
      </c>
      <c r="N10" s="10" t="s">
        <v>14</v>
      </c>
      <c r="O10" s="10" t="s">
        <v>14</v>
      </c>
      <c r="P10" s="10" t="s">
        <v>14</v>
      </c>
      <c r="Q10" s="9" t="s">
        <v>15</v>
      </c>
    </row>
    <row r="11">
      <c r="A11" s="7" t="s">
        <v>22</v>
      </c>
      <c r="B11" s="8">
        <v>17.32</v>
      </c>
      <c r="C11" s="8">
        <v>17.49</v>
      </c>
      <c r="D11" s="8">
        <v>17.01</v>
      </c>
      <c r="E11" s="9">
        <f t="shared" si="1"/>
        <v>17.27333333</v>
      </c>
      <c r="F11" s="8">
        <v>16.87</v>
      </c>
      <c r="G11" s="8">
        <v>16.44</v>
      </c>
      <c r="H11" s="8">
        <v>15.7</v>
      </c>
      <c r="I11" s="9">
        <f t="shared" si="5"/>
        <v>16.33666667</v>
      </c>
      <c r="J11" s="8">
        <v>15.68</v>
      </c>
      <c r="K11" s="8">
        <v>15.29</v>
      </c>
      <c r="L11" s="8">
        <v>15.88</v>
      </c>
      <c r="M11" s="9">
        <f t="shared" si="6"/>
        <v>15.61666667</v>
      </c>
      <c r="N11" s="10" t="s">
        <v>14</v>
      </c>
      <c r="O11" s="10" t="s">
        <v>14</v>
      </c>
      <c r="P11" s="10" t="s">
        <v>14</v>
      </c>
      <c r="Q11" s="9" t="s">
        <v>15</v>
      </c>
    </row>
    <row r="12">
      <c r="A12" s="7" t="s">
        <v>23</v>
      </c>
      <c r="B12" s="8">
        <v>16.29</v>
      </c>
      <c r="C12" s="8">
        <v>17.83</v>
      </c>
      <c r="D12" s="8">
        <v>17.62</v>
      </c>
      <c r="E12" s="9">
        <f t="shared" si="1"/>
        <v>17.24666667</v>
      </c>
      <c r="F12" s="8">
        <v>17.69</v>
      </c>
      <c r="G12" s="8">
        <v>17.47</v>
      </c>
      <c r="H12" s="8">
        <v>17.63</v>
      </c>
      <c r="I12" s="9">
        <f t="shared" si="5"/>
        <v>17.59666667</v>
      </c>
      <c r="J12" s="8">
        <v>17.89</v>
      </c>
      <c r="K12" s="8">
        <v>17.73</v>
      </c>
      <c r="L12" s="8">
        <v>18.39</v>
      </c>
      <c r="M12" s="9">
        <f t="shared" si="6"/>
        <v>18.00333333</v>
      </c>
      <c r="N12" s="8">
        <v>17.63</v>
      </c>
      <c r="O12" s="8">
        <v>17.84</v>
      </c>
      <c r="P12" s="8">
        <v>17.64</v>
      </c>
      <c r="Q12" s="9">
        <f>average(N12:P12)</f>
        <v>17.70333333</v>
      </c>
    </row>
    <row r="13">
      <c r="A13" s="22" t="s">
        <v>24</v>
      </c>
      <c r="B13" s="14" t="s">
        <v>14</v>
      </c>
      <c r="C13" s="14" t="s">
        <v>14</v>
      </c>
      <c r="D13" s="14" t="s">
        <v>14</v>
      </c>
      <c r="E13" s="15" t="s">
        <v>15</v>
      </c>
      <c r="F13" s="16">
        <v>19.86</v>
      </c>
      <c r="G13" s="16">
        <v>20.48</v>
      </c>
      <c r="H13" s="16">
        <v>21.39</v>
      </c>
      <c r="I13" s="15" t="s">
        <v>15</v>
      </c>
      <c r="J13" s="16">
        <v>19.62</v>
      </c>
      <c r="K13" s="16">
        <v>19.05</v>
      </c>
      <c r="L13" s="16">
        <v>21.24</v>
      </c>
      <c r="M13" s="15" t="s">
        <v>15</v>
      </c>
      <c r="N13" s="16">
        <v>20.47</v>
      </c>
      <c r="O13" s="16">
        <v>20.87</v>
      </c>
      <c r="P13" s="16">
        <v>21.23</v>
      </c>
      <c r="Q13" s="15" t="s">
        <v>15</v>
      </c>
    </row>
    <row r="14">
      <c r="A14" s="23"/>
      <c r="E14" s="24"/>
    </row>
    <row r="15">
      <c r="A15" s="25" t="s">
        <v>45</v>
      </c>
      <c r="B15" s="26" t="s">
        <v>17</v>
      </c>
      <c r="C15" s="27" t="s">
        <v>46</v>
      </c>
      <c r="D15" s="28"/>
      <c r="E15" s="29"/>
      <c r="L15" s="25" t="s">
        <v>45</v>
      </c>
      <c r="M15" s="26" t="s">
        <v>47</v>
      </c>
      <c r="N15" s="26" t="s">
        <v>48</v>
      </c>
      <c r="O15" s="30" t="s">
        <v>49</v>
      </c>
    </row>
    <row r="16">
      <c r="A16" s="31" t="s">
        <v>50</v>
      </c>
      <c r="B16" s="32" t="s">
        <v>0</v>
      </c>
      <c r="C16" s="32" t="s">
        <v>1</v>
      </c>
      <c r="D16" s="32" t="s">
        <v>2</v>
      </c>
      <c r="E16" s="33" t="s">
        <v>3</v>
      </c>
      <c r="L16" s="34" t="str">
        <f>B15</f>
        <v>Josh</v>
      </c>
      <c r="M16" s="35">
        <f t="array" ref="M16">INDEX(B17:E17, MATCH(TRUE, ISNUMBER(B17:E17), 0))</f>
        <v>18.73</v>
      </c>
      <c r="N16" s="36">
        <f>LOOKUP(1.E+308,B17:E17)</f>
        <v>19.75</v>
      </c>
      <c r="O16" s="37">
        <f>(N16-M16)/M16</f>
        <v>0.05445808863</v>
      </c>
    </row>
    <row r="17">
      <c r="A17" s="38" t="s">
        <v>51</v>
      </c>
      <c r="B17" s="36">
        <f t="array" ref="B17">INDEX($E$2:$E$13, MATCH($B$15, $A$2:$A$13, 0))</f>
        <v>18.73</v>
      </c>
      <c r="C17" s="36" t="str">
        <f t="array" ref="C17">INDEX($I$2:$I$13, MATCH($B$15, $A$2:$A$13, 0))</f>
        <v>N/A</v>
      </c>
      <c r="D17" s="36">
        <f t="array" ref="D17">INDEX($M$2:$M$13, MATCH($B$15, $A$2:$A$13, 0))</f>
        <v>19.75</v>
      </c>
      <c r="E17" s="39" t="str">
        <f t="array" ref="E17">INDEX($Q$2:$Q$13, MATCH($B$15, $A$2:$A$13, 0))</f>
        <v>N/A</v>
      </c>
    </row>
    <row r="22">
      <c r="A22" s="40" t="str">
        <f>"Average Force Across Sessions – " &amp; B15</f>
        <v>Average Force Across Sessions – Josh</v>
      </c>
    </row>
    <row r="23">
      <c r="A23" s="41"/>
    </row>
  </sheetData>
  <mergeCells count="3">
    <mergeCell ref="A14:D14"/>
    <mergeCell ref="C15:E15"/>
    <mergeCell ref="A22:E23"/>
  </mergeCells>
  <dataValidations>
    <dataValidation type="list" allowBlank="1" showErrorMessage="1" sqref="B15">
      <formula1>"Bryce,Joel,Chris,Josh,Ben L,Ayden,Aidan,Ben D,Moshe,Philip,Calvin"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3"/>
      <c r="E1" s="3"/>
      <c r="F1" s="2" t="s">
        <v>1</v>
      </c>
      <c r="G1" s="3"/>
      <c r="H1" s="3"/>
      <c r="I1" s="3"/>
      <c r="J1" s="2" t="s">
        <v>2</v>
      </c>
      <c r="K1" s="3"/>
      <c r="L1" s="3"/>
      <c r="M1" s="3"/>
      <c r="N1" s="2" t="s">
        <v>3</v>
      </c>
      <c r="O1" s="1"/>
      <c r="P1" s="1"/>
      <c r="Q1" s="3"/>
    </row>
    <row r="2">
      <c r="A2" s="42" t="s">
        <v>26</v>
      </c>
      <c r="B2" s="43">
        <v>13.53</v>
      </c>
      <c r="C2" s="43">
        <v>13.3</v>
      </c>
      <c r="D2" s="43">
        <v>13.3</v>
      </c>
      <c r="E2" s="44">
        <f t="shared" ref="E2:E11" si="1">average(B2:D2)</f>
        <v>13.37666667</v>
      </c>
      <c r="F2" s="43">
        <v>13.89</v>
      </c>
      <c r="G2" s="43">
        <v>13.57</v>
      </c>
      <c r="H2" s="43">
        <v>13.88</v>
      </c>
      <c r="I2" s="44">
        <f>average(F2:H2)</f>
        <v>13.78</v>
      </c>
      <c r="J2" s="43">
        <v>13.82</v>
      </c>
      <c r="K2" s="43">
        <v>13.94</v>
      </c>
      <c r="L2" s="43">
        <v>13.49</v>
      </c>
      <c r="M2" s="44">
        <f>average(J2:L2)</f>
        <v>13.75</v>
      </c>
      <c r="N2" s="43">
        <v>14.74</v>
      </c>
      <c r="O2" s="43">
        <v>14.81</v>
      </c>
      <c r="P2" s="43">
        <v>14.66</v>
      </c>
      <c r="Q2" s="44">
        <f>average(N2:P2)</f>
        <v>14.73666667</v>
      </c>
    </row>
    <row r="3">
      <c r="A3" s="12" t="s">
        <v>27</v>
      </c>
      <c r="B3" s="8">
        <v>14.1</v>
      </c>
      <c r="C3" s="8">
        <v>14.47</v>
      </c>
      <c r="D3" s="8">
        <v>15.15</v>
      </c>
      <c r="E3" s="9">
        <f t="shared" si="1"/>
        <v>14.57333333</v>
      </c>
      <c r="F3" s="10" t="s">
        <v>14</v>
      </c>
      <c r="G3" s="10" t="s">
        <v>14</v>
      </c>
      <c r="H3" s="10" t="s">
        <v>14</v>
      </c>
      <c r="I3" s="9" t="s">
        <v>15</v>
      </c>
      <c r="J3" s="10" t="s">
        <v>14</v>
      </c>
      <c r="K3" s="10" t="s">
        <v>14</v>
      </c>
      <c r="L3" s="10" t="s">
        <v>14</v>
      </c>
      <c r="M3" s="9" t="s">
        <v>15</v>
      </c>
      <c r="N3" s="10" t="s">
        <v>14</v>
      </c>
      <c r="O3" s="10" t="s">
        <v>14</v>
      </c>
      <c r="P3" s="10" t="s">
        <v>14</v>
      </c>
      <c r="Q3" s="9" t="s">
        <v>15</v>
      </c>
    </row>
    <row r="4">
      <c r="A4" s="7" t="s">
        <v>28</v>
      </c>
      <c r="B4" s="8">
        <v>14.49</v>
      </c>
      <c r="C4" s="8">
        <v>15.19</v>
      </c>
      <c r="D4" s="8">
        <v>14.8</v>
      </c>
      <c r="E4" s="9">
        <f t="shared" si="1"/>
        <v>14.82666667</v>
      </c>
      <c r="F4" s="8">
        <v>14.19</v>
      </c>
      <c r="G4" s="8">
        <v>14.28</v>
      </c>
      <c r="H4" s="8">
        <v>15.14</v>
      </c>
      <c r="I4" s="9">
        <f t="shared" ref="I4:I5" si="2">average(F4:H4)</f>
        <v>14.53666667</v>
      </c>
      <c r="J4" s="8">
        <v>15.34</v>
      </c>
      <c r="K4" s="8">
        <v>15.36</v>
      </c>
      <c r="L4" s="8">
        <v>15.18</v>
      </c>
      <c r="M4" s="9">
        <f>average(J4:L4)</f>
        <v>15.29333333</v>
      </c>
      <c r="N4" s="8">
        <v>15.28</v>
      </c>
      <c r="O4" s="8">
        <v>15.43</v>
      </c>
      <c r="P4" s="8">
        <v>14.92</v>
      </c>
      <c r="Q4" s="9">
        <f t="shared" ref="Q4:Q8" si="3">average(N4:P4)</f>
        <v>15.21</v>
      </c>
    </row>
    <row r="5">
      <c r="A5" s="12" t="s">
        <v>29</v>
      </c>
      <c r="B5" s="8">
        <v>15.52</v>
      </c>
      <c r="C5" s="8">
        <v>15.38</v>
      </c>
      <c r="D5" s="8">
        <v>15.2</v>
      </c>
      <c r="E5" s="9">
        <f t="shared" si="1"/>
        <v>15.36666667</v>
      </c>
      <c r="F5" s="8">
        <v>14.78</v>
      </c>
      <c r="G5" s="8">
        <v>15.13</v>
      </c>
      <c r="H5" s="8">
        <v>14.49</v>
      </c>
      <c r="I5" s="9">
        <f t="shared" si="2"/>
        <v>14.8</v>
      </c>
      <c r="J5" s="10" t="s">
        <v>14</v>
      </c>
      <c r="K5" s="10" t="s">
        <v>14</v>
      </c>
      <c r="L5" s="10" t="s">
        <v>14</v>
      </c>
      <c r="M5" s="9" t="s">
        <v>15</v>
      </c>
      <c r="N5" s="8">
        <v>14.94</v>
      </c>
      <c r="O5" s="8">
        <v>14.91</v>
      </c>
      <c r="P5" s="8">
        <v>14.93</v>
      </c>
      <c r="Q5" s="9">
        <f t="shared" si="3"/>
        <v>14.92666667</v>
      </c>
    </row>
    <row r="6">
      <c r="A6" s="12" t="s">
        <v>30</v>
      </c>
      <c r="B6" s="8">
        <v>15.78</v>
      </c>
      <c r="C6" s="8">
        <v>15.34</v>
      </c>
      <c r="D6" s="8">
        <v>14.95</v>
      </c>
      <c r="E6" s="9">
        <f t="shared" si="1"/>
        <v>15.35666667</v>
      </c>
      <c r="F6" s="10" t="s">
        <v>14</v>
      </c>
      <c r="G6" s="10" t="s">
        <v>14</v>
      </c>
      <c r="H6" s="10" t="s">
        <v>14</v>
      </c>
      <c r="I6" s="9" t="s">
        <v>15</v>
      </c>
      <c r="J6" s="10" t="s">
        <v>14</v>
      </c>
      <c r="K6" s="10" t="s">
        <v>14</v>
      </c>
      <c r="L6" s="10" t="s">
        <v>14</v>
      </c>
      <c r="M6" s="9" t="s">
        <v>15</v>
      </c>
      <c r="N6" s="8">
        <v>14.21</v>
      </c>
      <c r="O6" s="8">
        <v>14.53</v>
      </c>
      <c r="P6" s="8">
        <v>13.81</v>
      </c>
      <c r="Q6" s="9">
        <f t="shared" si="3"/>
        <v>14.18333333</v>
      </c>
    </row>
    <row r="7">
      <c r="A7" s="7" t="s">
        <v>31</v>
      </c>
      <c r="B7" s="8">
        <v>16.15</v>
      </c>
      <c r="C7" s="8">
        <v>16.14</v>
      </c>
      <c r="D7" s="8">
        <v>16.16</v>
      </c>
      <c r="E7" s="9">
        <f t="shared" si="1"/>
        <v>16.15</v>
      </c>
      <c r="F7" s="10" t="s">
        <v>14</v>
      </c>
      <c r="G7" s="10" t="s">
        <v>14</v>
      </c>
      <c r="H7" s="10" t="s">
        <v>14</v>
      </c>
      <c r="I7" s="9" t="s">
        <v>15</v>
      </c>
      <c r="J7" s="8">
        <v>15.08</v>
      </c>
      <c r="K7" s="8">
        <v>14.96</v>
      </c>
      <c r="L7" s="8">
        <v>15.28</v>
      </c>
      <c r="M7" s="9">
        <f t="shared" ref="M7:M11" si="4">average(J7:L7)</f>
        <v>15.10666667</v>
      </c>
      <c r="N7" s="8">
        <v>15.67</v>
      </c>
      <c r="O7" s="8">
        <v>15.46</v>
      </c>
      <c r="P7" s="8">
        <v>15.43</v>
      </c>
      <c r="Q7" s="9">
        <f t="shared" si="3"/>
        <v>15.52</v>
      </c>
    </row>
    <row r="8">
      <c r="A8" s="12" t="s">
        <v>32</v>
      </c>
      <c r="B8" s="8">
        <v>14.44</v>
      </c>
      <c r="C8" s="8">
        <v>15.25</v>
      </c>
      <c r="D8" s="8">
        <v>14.98</v>
      </c>
      <c r="E8" s="9">
        <f t="shared" si="1"/>
        <v>14.89</v>
      </c>
      <c r="F8" s="8">
        <v>14.2</v>
      </c>
      <c r="G8" s="8">
        <v>14.15</v>
      </c>
      <c r="H8" s="8">
        <v>14.02</v>
      </c>
      <c r="I8" s="9">
        <f t="shared" ref="I8:I10" si="5">average(F8:H8)</f>
        <v>14.12333333</v>
      </c>
      <c r="J8" s="8">
        <v>14.95</v>
      </c>
      <c r="K8" s="8">
        <v>14.52</v>
      </c>
      <c r="L8" s="8">
        <v>15.28</v>
      </c>
      <c r="M8" s="9">
        <f t="shared" si="4"/>
        <v>14.91666667</v>
      </c>
      <c r="N8" s="8">
        <v>14.2</v>
      </c>
      <c r="O8" s="8">
        <v>14.15</v>
      </c>
      <c r="P8" s="8">
        <v>14.02</v>
      </c>
      <c r="Q8" s="9">
        <f t="shared" si="3"/>
        <v>14.12333333</v>
      </c>
    </row>
    <row r="9">
      <c r="A9" s="7" t="s">
        <v>33</v>
      </c>
      <c r="B9" s="8">
        <v>13.33</v>
      </c>
      <c r="C9" s="8">
        <v>13.47</v>
      </c>
      <c r="D9" s="8">
        <v>14.34</v>
      </c>
      <c r="E9" s="9">
        <f t="shared" si="1"/>
        <v>13.71333333</v>
      </c>
      <c r="F9" s="8">
        <v>13.51</v>
      </c>
      <c r="G9" s="8">
        <v>13.56</v>
      </c>
      <c r="H9" s="8">
        <v>13.78</v>
      </c>
      <c r="I9" s="9">
        <f t="shared" si="5"/>
        <v>13.61666667</v>
      </c>
      <c r="J9" s="8">
        <v>13.92</v>
      </c>
      <c r="K9" s="8">
        <v>13.86</v>
      </c>
      <c r="L9" s="8">
        <v>13.74</v>
      </c>
      <c r="M9" s="9">
        <f t="shared" si="4"/>
        <v>13.84</v>
      </c>
      <c r="N9" s="10" t="s">
        <v>14</v>
      </c>
      <c r="O9" s="10" t="s">
        <v>14</v>
      </c>
      <c r="P9" s="10" t="s">
        <v>14</v>
      </c>
      <c r="Q9" s="9" t="s">
        <v>15</v>
      </c>
    </row>
    <row r="10">
      <c r="A10" s="7" t="s">
        <v>34</v>
      </c>
      <c r="B10" s="8">
        <v>14.42</v>
      </c>
      <c r="C10" s="8">
        <v>14.76</v>
      </c>
      <c r="D10" s="8">
        <v>15.04</v>
      </c>
      <c r="E10" s="9">
        <f t="shared" si="1"/>
        <v>14.74</v>
      </c>
      <c r="F10" s="8">
        <v>14.23</v>
      </c>
      <c r="G10" s="8">
        <v>14.53</v>
      </c>
      <c r="H10" s="8">
        <v>14.34</v>
      </c>
      <c r="I10" s="9">
        <f t="shared" si="5"/>
        <v>14.36666667</v>
      </c>
      <c r="J10" s="8">
        <v>15.12</v>
      </c>
      <c r="K10" s="8">
        <v>14.66</v>
      </c>
      <c r="L10" s="8">
        <v>15.06</v>
      </c>
      <c r="M10" s="9">
        <f t="shared" si="4"/>
        <v>14.94666667</v>
      </c>
      <c r="N10" s="8">
        <v>14.89</v>
      </c>
      <c r="O10" s="8">
        <v>15.0</v>
      </c>
      <c r="P10" s="8">
        <v>14.98</v>
      </c>
      <c r="Q10" s="9">
        <f t="shared" ref="Q10:Q11" si="6">average(N10:P10)</f>
        <v>14.95666667</v>
      </c>
    </row>
    <row r="11">
      <c r="A11" s="7" t="s">
        <v>35</v>
      </c>
      <c r="B11" s="8">
        <v>12.5</v>
      </c>
      <c r="C11" s="8">
        <v>12.87</v>
      </c>
      <c r="D11" s="8">
        <v>12.95</v>
      </c>
      <c r="E11" s="9">
        <f t="shared" si="1"/>
        <v>12.77333333</v>
      </c>
      <c r="F11" s="10" t="s">
        <v>14</v>
      </c>
      <c r="G11" s="10" t="s">
        <v>14</v>
      </c>
      <c r="H11" s="10" t="s">
        <v>14</v>
      </c>
      <c r="I11" s="9" t="s">
        <v>15</v>
      </c>
      <c r="J11" s="8">
        <v>12.68</v>
      </c>
      <c r="K11" s="8">
        <v>13.43</v>
      </c>
      <c r="L11" s="8">
        <v>12.52</v>
      </c>
      <c r="M11" s="9">
        <f t="shared" si="4"/>
        <v>12.87666667</v>
      </c>
      <c r="N11" s="8">
        <v>13.05</v>
      </c>
      <c r="O11" s="8">
        <v>12.73</v>
      </c>
      <c r="P11" s="8">
        <v>12.95</v>
      </c>
      <c r="Q11" s="9">
        <f t="shared" si="6"/>
        <v>12.91</v>
      </c>
    </row>
    <row r="12">
      <c r="A12" s="13" t="s">
        <v>36</v>
      </c>
      <c r="B12" s="14" t="s">
        <v>14</v>
      </c>
      <c r="C12" s="14" t="s">
        <v>14</v>
      </c>
      <c r="D12" s="14" t="s">
        <v>14</v>
      </c>
      <c r="E12" s="15" t="s">
        <v>15</v>
      </c>
      <c r="F12" s="16">
        <v>14.34</v>
      </c>
      <c r="G12" s="16">
        <v>16.59</v>
      </c>
      <c r="H12" s="16">
        <v>14.93</v>
      </c>
      <c r="I12" s="15">
        <f>average(F12:H12)</f>
        <v>15.28666667</v>
      </c>
      <c r="J12" s="14" t="s">
        <v>14</v>
      </c>
      <c r="K12" s="14" t="s">
        <v>14</v>
      </c>
      <c r="L12" s="14" t="s">
        <v>14</v>
      </c>
      <c r="M12" s="15" t="s">
        <v>15</v>
      </c>
      <c r="N12" s="14" t="s">
        <v>14</v>
      </c>
      <c r="O12" s="14" t="s">
        <v>14</v>
      </c>
      <c r="P12" s="14" t="s">
        <v>14</v>
      </c>
      <c r="Q12" s="15" t="s">
        <v>15</v>
      </c>
    </row>
    <row r="15">
      <c r="A15" s="42" t="s">
        <v>45</v>
      </c>
      <c r="B15" s="45" t="s">
        <v>33</v>
      </c>
      <c r="C15" s="27" t="s">
        <v>46</v>
      </c>
      <c r="D15" s="28"/>
      <c r="E15" s="29"/>
      <c r="L15" s="25" t="s">
        <v>45</v>
      </c>
      <c r="M15" s="26" t="s">
        <v>47</v>
      </c>
      <c r="N15" s="26" t="s">
        <v>48</v>
      </c>
      <c r="O15" s="30" t="s">
        <v>49</v>
      </c>
    </row>
    <row r="16">
      <c r="A16" s="12" t="s">
        <v>50</v>
      </c>
      <c r="B16" s="32" t="s">
        <v>0</v>
      </c>
      <c r="C16" s="32" t="s">
        <v>1</v>
      </c>
      <c r="D16" s="32" t="s">
        <v>2</v>
      </c>
      <c r="E16" s="33" t="s">
        <v>3</v>
      </c>
      <c r="L16" s="34" t="str">
        <f>B15</f>
        <v>Sarah</v>
      </c>
      <c r="M16" s="35">
        <f t="array" ref="M16">INDEX(B17:E17, MATCH(TRUE, ISNUMBER(B17:E17), 0))</f>
        <v>13.71333333</v>
      </c>
      <c r="N16" s="36">
        <f>LOOKUP(1.E+308,B17:E17)</f>
        <v>13.84</v>
      </c>
      <c r="O16" s="37">
        <f>(N16-M16)/M16</f>
        <v>0.009236752552</v>
      </c>
    </row>
    <row r="17">
      <c r="A17" s="13" t="s">
        <v>51</v>
      </c>
      <c r="B17" s="46">
        <f t="array" ref="B17">INDEX($E$2:$E$13, MATCH($B$15, $A$2:$A$13, 0))</f>
        <v>13.71333333</v>
      </c>
      <c r="C17" s="36">
        <f t="array" ref="C17">INDEX($I$2:$I$13, MATCH($B$15, $A$2:$A$13, 0))</f>
        <v>13.61666667</v>
      </c>
      <c r="D17" s="36">
        <f t="array" ref="D17">INDEX($M$2:$M$13, MATCH($B$15, $A$2:$A$13, 0))</f>
        <v>13.84</v>
      </c>
      <c r="E17" s="39" t="str">
        <f t="array" ref="E17">INDEX($Q$2:$Q$13, MATCH($B$15, $A$2:$A$13, 0))</f>
        <v>N/A</v>
      </c>
    </row>
    <row r="22">
      <c r="A22" s="47" t="str">
        <f>"Average Force Across Sessions – " &amp; B15</f>
        <v>Average Force Across Sessions – Sarah</v>
      </c>
    </row>
  </sheetData>
  <mergeCells count="2">
    <mergeCell ref="C15:E15"/>
    <mergeCell ref="A22:E23"/>
  </mergeCells>
  <dataValidations>
    <dataValidation type="list" allowBlank="1" showErrorMessage="1" sqref="B15">
      <formula1>Women!$A$2:$A$12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